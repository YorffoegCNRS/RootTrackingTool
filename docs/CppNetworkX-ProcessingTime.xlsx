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couasnet\Documents\Geoffroy\RootsSystemAnalyzer\Dev\V2.1\docs\"/>
    </mc:Choice>
  </mc:AlternateContent>
  <xr:revisionPtr revIDLastSave="0" documentId="13_ncr:1_{358F17CB-991C-4DC6-8940-C1A97E3AB86D}" xr6:coauthVersionLast="47" xr6:coauthVersionMax="47" xr10:uidLastSave="{00000000-0000-0000-0000-000000000000}"/>
  <bookViews>
    <workbookView xWindow="4070" yWindow="1540" windowWidth="16050" windowHeight="15910" xr2:uid="{A25C83BD-2AF6-420C-B516-0683EADAC9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1" l="1"/>
  <c r="C104" i="1"/>
  <c r="D103" i="1"/>
  <c r="C103" i="1"/>
  <c r="E102" i="1"/>
  <c r="E101" i="1"/>
  <c r="E100" i="1"/>
  <c r="E99" i="1"/>
  <c r="E98" i="1"/>
  <c r="E97" i="1"/>
  <c r="E96" i="1"/>
  <c r="E95" i="1"/>
  <c r="E94" i="1"/>
  <c r="E93" i="1"/>
  <c r="E92" i="1"/>
  <c r="E82" i="1"/>
  <c r="E83" i="1"/>
  <c r="E84" i="1"/>
  <c r="E85" i="1"/>
  <c r="E86" i="1"/>
  <c r="E87" i="1"/>
  <c r="E88" i="1"/>
  <c r="E89" i="1"/>
  <c r="E90" i="1"/>
  <c r="E81" i="1"/>
  <c r="E80" i="1"/>
  <c r="D91" i="1"/>
  <c r="C91" i="1"/>
  <c r="D79" i="1"/>
  <c r="C79" i="1"/>
  <c r="E75" i="1"/>
  <c r="E76" i="1"/>
  <c r="E77" i="1"/>
  <c r="E78" i="1"/>
  <c r="E74" i="1"/>
  <c r="E73" i="1"/>
  <c r="F66" i="1"/>
  <c r="E68" i="1"/>
  <c r="F68" i="1" s="1"/>
  <c r="E69" i="1"/>
  <c r="F69" i="1" s="1"/>
  <c r="E70" i="1"/>
  <c r="F70" i="1" s="1"/>
  <c r="E71" i="1"/>
  <c r="F71" i="1" s="1"/>
  <c r="E67" i="1"/>
  <c r="F67" i="1" s="1"/>
  <c r="E66" i="1"/>
  <c r="D72" i="1"/>
  <c r="C72" i="1"/>
  <c r="F59" i="1"/>
  <c r="E61" i="1"/>
  <c r="F61" i="1" s="1"/>
  <c r="E62" i="1"/>
  <c r="F62" i="1" s="1"/>
  <c r="E63" i="1"/>
  <c r="F63" i="1" s="1"/>
  <c r="E64" i="1"/>
  <c r="F64" i="1" s="1"/>
  <c r="E60" i="1"/>
  <c r="F60" i="1" s="1"/>
  <c r="E59" i="1"/>
  <c r="D65" i="1"/>
  <c r="E65" i="1" s="1"/>
  <c r="F65" i="1" s="1"/>
  <c r="C65" i="1"/>
  <c r="E57" i="1"/>
  <c r="E54" i="1"/>
  <c r="E55" i="1"/>
  <c r="E56" i="1"/>
  <c r="E53" i="1"/>
  <c r="E52" i="1"/>
  <c r="D58" i="1"/>
  <c r="C58" i="1"/>
  <c r="E50" i="1"/>
  <c r="E47" i="1"/>
  <c r="E48" i="1"/>
  <c r="E49" i="1"/>
  <c r="E46" i="1"/>
  <c r="E45" i="1"/>
  <c r="D51" i="1"/>
  <c r="C51" i="1"/>
  <c r="D44" i="1"/>
  <c r="E44" i="1" s="1"/>
  <c r="F44" i="1" s="1"/>
  <c r="C44" i="1"/>
  <c r="E43" i="1"/>
  <c r="F43" i="1" s="1"/>
  <c r="E40" i="1"/>
  <c r="F40" i="1" s="1"/>
  <c r="E41" i="1"/>
  <c r="F41" i="1" s="1"/>
  <c r="E42" i="1"/>
  <c r="F42" i="1" s="1"/>
  <c r="E39" i="1"/>
  <c r="F39" i="1" s="1"/>
  <c r="E38" i="1"/>
  <c r="F38" i="1" s="1"/>
  <c r="D37" i="1"/>
  <c r="C37" i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5" i="1"/>
  <c r="F25" i="1" s="1"/>
  <c r="E24" i="1"/>
  <c r="F24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16" i="1"/>
  <c r="F16" i="1" s="1"/>
  <c r="E15" i="1"/>
  <c r="F15" i="1" s="1"/>
  <c r="C26" i="1"/>
  <c r="D26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3" i="1"/>
  <c r="F3" i="1" s="1"/>
  <c r="D14" i="1"/>
  <c r="C14" i="1"/>
  <c r="F72" i="1" l="1"/>
  <c r="D104" i="1"/>
  <c r="E104" i="1" s="1"/>
  <c r="F104" i="1" s="1"/>
  <c r="E14" i="1"/>
  <c r="F14" i="1" s="1"/>
  <c r="F92" i="1"/>
  <c r="E103" i="1"/>
  <c r="F103" i="1" s="1"/>
  <c r="F102" i="1"/>
  <c r="F94" i="1"/>
  <c r="F95" i="1"/>
  <c r="F96" i="1"/>
  <c r="F97" i="1"/>
  <c r="F98" i="1"/>
  <c r="F99" i="1"/>
  <c r="F100" i="1"/>
  <c r="F101" i="1"/>
  <c r="F93" i="1"/>
  <c r="F80" i="1"/>
  <c r="F82" i="1"/>
  <c r="F83" i="1"/>
  <c r="F84" i="1"/>
  <c r="F85" i="1"/>
  <c r="F86" i="1"/>
  <c r="F87" i="1"/>
  <c r="F88" i="1"/>
  <c r="F89" i="1"/>
  <c r="F90" i="1"/>
  <c r="F81" i="1"/>
  <c r="E91" i="1"/>
  <c r="F91" i="1" s="1"/>
  <c r="E79" i="1"/>
  <c r="F79" i="1" s="1"/>
  <c r="F74" i="1"/>
  <c r="F73" i="1"/>
  <c r="F75" i="1"/>
  <c r="F76" i="1"/>
  <c r="F77" i="1"/>
  <c r="F78" i="1"/>
  <c r="F57" i="1"/>
  <c r="F54" i="1"/>
  <c r="E58" i="1"/>
  <c r="F58" i="1" s="1"/>
  <c r="F55" i="1"/>
  <c r="F56" i="1"/>
  <c r="F53" i="1"/>
  <c r="F52" i="1"/>
  <c r="F45" i="1"/>
  <c r="F48" i="1"/>
  <c r="E51" i="1"/>
  <c r="F51" i="1" s="1"/>
  <c r="F50" i="1"/>
  <c r="F47" i="1"/>
  <c r="F49" i="1"/>
  <c r="F46" i="1"/>
  <c r="E26" i="1"/>
  <c r="F26" i="1" s="1"/>
  <c r="E37" i="1"/>
  <c r="F37" i="1" s="1"/>
</calcChain>
</file>

<file path=xl/sharedStrings.xml><?xml version="1.0" encoding="utf-8"?>
<sst xmlns="http://schemas.openxmlformats.org/spreadsheetml/2006/main" count="121" uniqueCount="35">
  <si>
    <t>Dataset</t>
  </si>
  <si>
    <t>NetworkX</t>
  </si>
  <si>
    <t>C++</t>
  </si>
  <si>
    <t>AS_05</t>
  </si>
  <si>
    <t>Image jour</t>
  </si>
  <si>
    <t>J06</t>
  </si>
  <si>
    <t>J07</t>
  </si>
  <si>
    <t>J08</t>
  </si>
  <si>
    <t>J09</t>
  </si>
  <si>
    <t>J10</t>
  </si>
  <si>
    <t>J13</t>
  </si>
  <si>
    <t>J14</t>
  </si>
  <si>
    <t>J15</t>
  </si>
  <si>
    <t>J16</t>
  </si>
  <si>
    <t>J17</t>
  </si>
  <si>
    <t>J20</t>
  </si>
  <si>
    <t>Total</t>
  </si>
  <si>
    <t>Gain</t>
  </si>
  <si>
    <t>Absolue</t>
  </si>
  <si>
    <t>Ratio</t>
  </si>
  <si>
    <t>AS_06</t>
  </si>
  <si>
    <t>Temps (en secondes)</t>
  </si>
  <si>
    <t>AS_07</t>
  </si>
  <si>
    <t>J01</t>
  </si>
  <si>
    <t>J05</t>
  </si>
  <si>
    <t>J12</t>
  </si>
  <si>
    <t>MS_01</t>
  </si>
  <si>
    <t>MS_02</t>
  </si>
  <si>
    <t>MS_03</t>
  </si>
  <si>
    <t>S_04</t>
  </si>
  <si>
    <t>S_05</t>
  </si>
  <si>
    <t>TF_02</t>
  </si>
  <si>
    <t>T_05</t>
  </si>
  <si>
    <t>T_06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</si>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</sst>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10" fontId="0" fillId="0" borderId="9" xfId="0" applyNumberFormat="1" applyBorder="1"/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15" xfId="0" applyBorder="1" applyAlignment="1">
      <alignment horizontal="center" vertical="center"/>
    </xf>
    <xf numFmtId="0" fontId="0" fillId="0" borderId="15" xfId="0" applyBorder="1"/>
    <xf numFmtId="10" fontId="0" fillId="0" borderId="14" xfId="0" applyNumberFormat="1" applyBorder="1"/>
    <xf numFmtId="10" fontId="0" fillId="0" borderId="13" xfId="0" applyNumberFormat="1" applyBorder="1"/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7" xfId="0" applyFill="1" applyBorder="1"/>
    <xf numFmtId="10" fontId="0" fillId="0" borderId="1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6E87-95CF-45C1-A59F-E2304920CA00}">
  <dimension ref="A1:F105"/>
  <sheetViews>
    <sheetView tabSelected="1" topLeftCell="C85" zoomScaleNormal="100" workbookViewId="0">
      <selection activeCell="H100" sqref="H100"/>
    </sheetView>
  </sheetViews>
  <sheetFormatPr baseColWidth="10" defaultColWidth="15.6328125" defaultRowHeight="14.5" x14ac:dyDescent="0.35"/>
  <cols>
    <col min="1" max="2" width="15.6328125" style="1"/>
  </cols>
  <sheetData>
    <row r="1" spans="1:6" ht="15" thickTop="1" x14ac:dyDescent="0.35">
      <c r="A1" s="18" t="s">
        <v>0</v>
      </c>
      <c r="B1" s="16" t="s">
        <v>4</v>
      </c>
      <c r="C1" s="16" t="s">
        <v>21</v>
      </c>
      <c r="D1" s="16"/>
      <c r="E1" s="20" t="s">
        <v>17</v>
      </c>
      <c r="F1" s="21"/>
    </row>
    <row r="2" spans="1:6" ht="15" thickBot="1" x14ac:dyDescent="0.4">
      <c r="A2" s="19"/>
      <c r="B2" s="17"/>
      <c r="C2" s="2" t="s">
        <v>1</v>
      </c>
      <c r="D2" s="2" t="s">
        <v>2</v>
      </c>
      <c r="E2" s="2" t="s">
        <v>18</v>
      </c>
      <c r="F2" s="3" t="s">
        <v>19</v>
      </c>
    </row>
    <row r="3" spans="1:6" ht="15" thickTop="1" x14ac:dyDescent="0.35">
      <c r="A3" s="14" t="s">
        <v>3</v>
      </c>
      <c r="B3" s="4" t="s">
        <v>5</v>
      </c>
      <c r="C3" s="5">
        <v>0.125</v>
      </c>
      <c r="D3" s="5">
        <v>0</v>
      </c>
      <c r="E3" s="5">
        <f>$C3 - $D3</f>
        <v>0.125</v>
      </c>
      <c r="F3" s="6">
        <f>$E3/$C$14</f>
        <v>3.9408866995073892E-2</v>
      </c>
    </row>
    <row r="4" spans="1:6" x14ac:dyDescent="0.35">
      <c r="A4" s="14"/>
      <c r="B4" s="4" t="s">
        <v>6</v>
      </c>
      <c r="C4" s="5">
        <v>7.8125E-2</v>
      </c>
      <c r="D4" s="5">
        <v>4.6875E-2</v>
      </c>
      <c r="E4" s="5">
        <f t="shared" ref="E4:E14" si="0">$C4 - $D4</f>
        <v>3.125E-2</v>
      </c>
      <c r="F4" s="6">
        <f t="shared" ref="F4:F14" si="1">$E4/$C$14</f>
        <v>9.852216748768473E-3</v>
      </c>
    </row>
    <row r="5" spans="1:6" x14ac:dyDescent="0.35">
      <c r="A5" s="14"/>
      <c r="B5" s="4" t="s">
        <v>7</v>
      </c>
      <c r="C5" s="5">
        <v>6.25E-2</v>
      </c>
      <c r="D5" s="5">
        <v>6.25E-2</v>
      </c>
      <c r="E5" s="5">
        <f t="shared" si="0"/>
        <v>0</v>
      </c>
      <c r="F5" s="6">
        <f t="shared" si="1"/>
        <v>0</v>
      </c>
    </row>
    <row r="6" spans="1:6" x14ac:dyDescent="0.35">
      <c r="A6" s="14"/>
      <c r="B6" s="4" t="s">
        <v>8</v>
      </c>
      <c r="C6" s="5">
        <v>0.78125</v>
      </c>
      <c r="D6" s="5">
        <v>6.25E-2</v>
      </c>
      <c r="E6" s="5">
        <f t="shared" si="0"/>
        <v>0.71875</v>
      </c>
      <c r="F6" s="6">
        <f t="shared" si="1"/>
        <v>0.22660098522167488</v>
      </c>
    </row>
    <row r="7" spans="1:6" x14ac:dyDescent="0.35">
      <c r="A7" s="14"/>
      <c r="B7" s="4" t="s">
        <v>9</v>
      </c>
      <c r="C7" s="5">
        <v>0.15625</v>
      </c>
      <c r="D7" s="5">
        <v>7.8125E-2</v>
      </c>
      <c r="E7" s="5">
        <f t="shared" si="0"/>
        <v>7.8125E-2</v>
      </c>
      <c r="F7" s="6">
        <f t="shared" si="1"/>
        <v>2.4630541871921183E-2</v>
      </c>
    </row>
    <row r="8" spans="1:6" x14ac:dyDescent="0.35">
      <c r="A8" s="14"/>
      <c r="B8" s="4" t="s">
        <v>10</v>
      </c>
      <c r="C8" s="5">
        <v>0.25</v>
      </c>
      <c r="D8" s="5">
        <v>0.140625</v>
      </c>
      <c r="E8" s="5">
        <f t="shared" si="0"/>
        <v>0.109375</v>
      </c>
      <c r="F8" s="6">
        <f t="shared" si="1"/>
        <v>3.4482758620689655E-2</v>
      </c>
    </row>
    <row r="9" spans="1:6" x14ac:dyDescent="0.35">
      <c r="A9" s="14"/>
      <c r="B9" s="4" t="s">
        <v>11</v>
      </c>
      <c r="C9" s="5">
        <v>0.203125</v>
      </c>
      <c r="D9" s="5">
        <v>9.375E-2</v>
      </c>
      <c r="E9" s="5">
        <f t="shared" si="0"/>
        <v>0.109375</v>
      </c>
      <c r="F9" s="6">
        <f t="shared" si="1"/>
        <v>3.4482758620689655E-2</v>
      </c>
    </row>
    <row r="10" spans="1:6" x14ac:dyDescent="0.35">
      <c r="A10" s="14"/>
      <c r="B10" s="4" t="s">
        <v>12</v>
      </c>
      <c r="C10" s="5">
        <v>0.265625</v>
      </c>
      <c r="D10" s="5">
        <v>0.125</v>
      </c>
      <c r="E10" s="5">
        <f t="shared" si="0"/>
        <v>0.140625</v>
      </c>
      <c r="F10" s="6">
        <f t="shared" si="1"/>
        <v>4.4334975369458129E-2</v>
      </c>
    </row>
    <row r="11" spans="1:6" x14ac:dyDescent="0.35">
      <c r="A11" s="14"/>
      <c r="B11" s="4" t="s">
        <v>13</v>
      </c>
      <c r="C11" s="5">
        <v>0.21875</v>
      </c>
      <c r="D11" s="5">
        <v>9.375E-2</v>
      </c>
      <c r="E11" s="5">
        <f t="shared" si="0"/>
        <v>0.125</v>
      </c>
      <c r="F11" s="6">
        <f t="shared" si="1"/>
        <v>3.9408866995073892E-2</v>
      </c>
    </row>
    <row r="12" spans="1:6" x14ac:dyDescent="0.35">
      <c r="A12" s="14"/>
      <c r="B12" s="4" t="s">
        <v>14</v>
      </c>
      <c r="C12" s="5">
        <v>0.375</v>
      </c>
      <c r="D12" s="5">
        <v>0.203125</v>
      </c>
      <c r="E12" s="5">
        <f t="shared" si="0"/>
        <v>0.171875</v>
      </c>
      <c r="F12" s="6">
        <f t="shared" si="1"/>
        <v>5.4187192118226604E-2</v>
      </c>
    </row>
    <row r="13" spans="1:6" x14ac:dyDescent="0.35">
      <c r="A13" s="14"/>
      <c r="B13" s="4" t="s">
        <v>15</v>
      </c>
      <c r="C13" s="5">
        <v>0.65625</v>
      </c>
      <c r="D13" s="5">
        <v>0.21875</v>
      </c>
      <c r="E13" s="5">
        <f t="shared" si="0"/>
        <v>0.4375</v>
      </c>
      <c r="F13" s="6">
        <f t="shared" si="1"/>
        <v>0.13793103448275862</v>
      </c>
    </row>
    <row r="14" spans="1:6" ht="15" thickBot="1" x14ac:dyDescent="0.4">
      <c r="A14" s="15"/>
      <c r="B14" s="9" t="s">
        <v>16</v>
      </c>
      <c r="C14" s="10">
        <f>SUM(C3:C13)</f>
        <v>3.171875</v>
      </c>
      <c r="D14" s="10">
        <f>SUM(D3:D13)</f>
        <v>1.125</v>
      </c>
      <c r="E14" s="10">
        <f t="shared" si="0"/>
        <v>2.046875</v>
      </c>
      <c r="F14" s="11">
        <f t="shared" si="1"/>
        <v>0.64532019704433496</v>
      </c>
    </row>
    <row r="15" spans="1:6" ht="15" thickTop="1" x14ac:dyDescent="0.35">
      <c r="A15" s="13" t="s">
        <v>20</v>
      </c>
      <c r="B15" s="7" t="s">
        <v>5</v>
      </c>
      <c r="C15" s="8">
        <v>9.375E-2</v>
      </c>
      <c r="D15" s="8">
        <v>3.125E-2</v>
      </c>
      <c r="E15" s="8">
        <f>$C15 - $D15</f>
        <v>6.25E-2</v>
      </c>
      <c r="F15" s="12">
        <f>$E15/$C$26</f>
        <v>2.564102564102564E-2</v>
      </c>
    </row>
    <row r="16" spans="1:6" x14ac:dyDescent="0.35">
      <c r="A16" s="14"/>
      <c r="B16" s="4" t="s">
        <v>6</v>
      </c>
      <c r="C16" s="5">
        <v>0.109375</v>
      </c>
      <c r="D16" s="5">
        <v>4.6875E-2</v>
      </c>
      <c r="E16" s="5">
        <f>$C16-$D16</f>
        <v>6.25E-2</v>
      </c>
      <c r="F16" s="6">
        <f>$E16/$C$26</f>
        <v>2.564102564102564E-2</v>
      </c>
    </row>
    <row r="17" spans="1:6" x14ac:dyDescent="0.35">
      <c r="A17" s="14"/>
      <c r="B17" s="4" t="s">
        <v>7</v>
      </c>
      <c r="C17" s="5">
        <v>0.140625</v>
      </c>
      <c r="D17" s="5">
        <v>4.6875E-2</v>
      </c>
      <c r="E17" s="5">
        <f t="shared" ref="E17:E23" si="2">$C17-$D17</f>
        <v>9.375E-2</v>
      </c>
      <c r="F17" s="6">
        <f t="shared" ref="F17:F24" si="3">$E17/$C$26</f>
        <v>3.8461538461538464E-2</v>
      </c>
    </row>
    <row r="18" spans="1:6" x14ac:dyDescent="0.35">
      <c r="A18" s="14"/>
      <c r="B18" s="4" t="s">
        <v>8</v>
      </c>
      <c r="C18" s="5">
        <v>7.8125E-2</v>
      </c>
      <c r="D18" s="5">
        <v>4.6875E-2</v>
      </c>
      <c r="E18" s="5">
        <f t="shared" si="2"/>
        <v>3.125E-2</v>
      </c>
      <c r="F18" s="6">
        <f t="shared" si="3"/>
        <v>1.282051282051282E-2</v>
      </c>
    </row>
    <row r="19" spans="1:6" x14ac:dyDescent="0.35">
      <c r="A19" s="14"/>
      <c r="B19" s="4" t="s">
        <v>9</v>
      </c>
      <c r="C19" s="5">
        <v>0.125</v>
      </c>
      <c r="D19" s="5">
        <v>4.6875E-2</v>
      </c>
      <c r="E19" s="5">
        <f t="shared" si="2"/>
        <v>7.8125E-2</v>
      </c>
      <c r="F19" s="6">
        <f t="shared" si="3"/>
        <v>3.2051282051282048E-2</v>
      </c>
    </row>
    <row r="20" spans="1:6" x14ac:dyDescent="0.35">
      <c r="A20" s="14"/>
      <c r="B20" s="4" t="s">
        <v>10</v>
      </c>
      <c r="C20" s="5">
        <v>0.15625</v>
      </c>
      <c r="D20" s="5">
        <v>7.8125E-2</v>
      </c>
      <c r="E20" s="5">
        <f t="shared" si="2"/>
        <v>7.8125E-2</v>
      </c>
      <c r="F20" s="6">
        <f t="shared" si="3"/>
        <v>3.2051282051282048E-2</v>
      </c>
    </row>
    <row r="21" spans="1:6" x14ac:dyDescent="0.35">
      <c r="A21" s="14"/>
      <c r="B21" s="4" t="s">
        <v>11</v>
      </c>
      <c r="C21" s="5">
        <v>0.15625</v>
      </c>
      <c r="D21" s="5">
        <v>0.171875</v>
      </c>
      <c r="E21" s="5">
        <f t="shared" si="2"/>
        <v>-1.5625E-2</v>
      </c>
      <c r="F21" s="6">
        <f t="shared" si="3"/>
        <v>-6.41025641025641E-3</v>
      </c>
    </row>
    <row r="22" spans="1:6" x14ac:dyDescent="0.35">
      <c r="A22" s="14"/>
      <c r="B22" s="4" t="s">
        <v>12</v>
      </c>
      <c r="C22" s="5">
        <v>0.390625</v>
      </c>
      <c r="D22" s="5">
        <v>0.15625</v>
      </c>
      <c r="E22" s="5">
        <f t="shared" si="2"/>
        <v>0.234375</v>
      </c>
      <c r="F22" s="6">
        <f t="shared" si="3"/>
        <v>9.6153846153846159E-2</v>
      </c>
    </row>
    <row r="23" spans="1:6" x14ac:dyDescent="0.35">
      <c r="A23" s="14"/>
      <c r="B23" s="4" t="s">
        <v>13</v>
      </c>
      <c r="C23" s="5">
        <v>0.390625</v>
      </c>
      <c r="D23" s="5">
        <v>7.8125E-2</v>
      </c>
      <c r="E23" s="5">
        <f t="shared" si="2"/>
        <v>0.3125</v>
      </c>
      <c r="F23" s="6">
        <f t="shared" si="3"/>
        <v>0.12820512820512819</v>
      </c>
    </row>
    <row r="24" spans="1:6" x14ac:dyDescent="0.35">
      <c r="A24" s="14"/>
      <c r="B24" s="4" t="s">
        <v>14</v>
      </c>
      <c r="C24" s="5">
        <v>0.34375</v>
      </c>
      <c r="D24" s="5">
        <v>0.21875</v>
      </c>
      <c r="E24" s="5">
        <f>$C24-$D24</f>
        <v>0.125</v>
      </c>
      <c r="F24" s="6">
        <f t="shared" si="3"/>
        <v>5.128205128205128E-2</v>
      </c>
    </row>
    <row r="25" spans="1:6" x14ac:dyDescent="0.35">
      <c r="A25" s="14"/>
      <c r="B25" s="4" t="s">
        <v>15</v>
      </c>
      <c r="C25" s="5">
        <v>0.453125</v>
      </c>
      <c r="D25" s="5">
        <v>0.296875</v>
      </c>
      <c r="E25" s="5">
        <f>$C25-$D25</f>
        <v>0.15625</v>
      </c>
      <c r="F25" s="6">
        <f>$E25/$C$26</f>
        <v>6.4102564102564097E-2</v>
      </c>
    </row>
    <row r="26" spans="1:6" ht="15" thickBot="1" x14ac:dyDescent="0.4">
      <c r="A26" s="15"/>
      <c r="B26" s="9" t="s">
        <v>16</v>
      </c>
      <c r="C26" s="10">
        <f>SUM(C15:C25)</f>
        <v>2.4375</v>
      </c>
      <c r="D26" s="10">
        <f>SUM(D15:D25)</f>
        <v>1.21875</v>
      </c>
      <c r="E26" s="10">
        <f>$C26-$D26</f>
        <v>1.21875</v>
      </c>
      <c r="F26" s="11">
        <f>$E26/$C$26</f>
        <v>0.5</v>
      </c>
    </row>
    <row r="27" spans="1:6" ht="15" thickTop="1" x14ac:dyDescent="0.35">
      <c r="A27" s="13" t="s">
        <v>22</v>
      </c>
      <c r="B27" s="7" t="s">
        <v>23</v>
      </c>
      <c r="C27" s="8">
        <v>6.25E-2</v>
      </c>
      <c r="D27" s="8">
        <v>6.25E-2</v>
      </c>
      <c r="E27" s="8">
        <f>$C27-$D27</f>
        <v>0</v>
      </c>
      <c r="F27" s="12">
        <f t="shared" ref="F27:F37" si="4">$E27/$C$37</f>
        <v>0</v>
      </c>
    </row>
    <row r="28" spans="1:6" x14ac:dyDescent="0.35">
      <c r="A28" s="14"/>
      <c r="B28" s="4" t="s">
        <v>6</v>
      </c>
      <c r="C28" s="5">
        <v>4.6875E-2</v>
      </c>
      <c r="D28" s="5">
        <v>7.8125E-2</v>
      </c>
      <c r="E28" s="5">
        <f t="shared" ref="E28:E34" si="5">$C28-$D28</f>
        <v>-3.125E-2</v>
      </c>
      <c r="F28" s="6">
        <f t="shared" si="4"/>
        <v>-1.4285714285714285E-2</v>
      </c>
    </row>
    <row r="29" spans="1:6" x14ac:dyDescent="0.35">
      <c r="A29" s="14"/>
      <c r="B29" s="4" t="s">
        <v>8</v>
      </c>
      <c r="C29" s="5">
        <v>7.8125E-2</v>
      </c>
      <c r="D29" s="5">
        <v>6.25E-2</v>
      </c>
      <c r="E29" s="5">
        <f t="shared" si="5"/>
        <v>1.5625E-2</v>
      </c>
      <c r="F29" s="6">
        <f t="shared" si="4"/>
        <v>7.1428571428571426E-3</v>
      </c>
    </row>
    <row r="30" spans="1:6" x14ac:dyDescent="0.35">
      <c r="A30" s="14"/>
      <c r="B30" s="4" t="s">
        <v>9</v>
      </c>
      <c r="C30" s="5">
        <v>4.6875E-2</v>
      </c>
      <c r="D30" s="5">
        <v>7.8125E-2</v>
      </c>
      <c r="E30" s="5">
        <f t="shared" si="5"/>
        <v>-3.125E-2</v>
      </c>
      <c r="F30" s="6">
        <f t="shared" si="4"/>
        <v>-1.4285714285714285E-2</v>
      </c>
    </row>
    <row r="31" spans="1:6" x14ac:dyDescent="0.35">
      <c r="A31" s="14"/>
      <c r="B31" s="4" t="s">
        <v>10</v>
      </c>
      <c r="C31" s="5">
        <v>1.5625E-2</v>
      </c>
      <c r="D31" s="5">
        <v>0.125</v>
      </c>
      <c r="E31" s="5">
        <f t="shared" si="5"/>
        <v>-0.109375</v>
      </c>
      <c r="F31" s="6">
        <f t="shared" si="4"/>
        <v>-0.05</v>
      </c>
    </row>
    <row r="32" spans="1:6" x14ac:dyDescent="0.35">
      <c r="A32" s="14"/>
      <c r="B32" s="4" t="s">
        <v>11</v>
      </c>
      <c r="C32" s="5">
        <v>7.8125E-2</v>
      </c>
      <c r="D32" s="5">
        <v>9.375E-2</v>
      </c>
      <c r="E32" s="5">
        <f t="shared" si="5"/>
        <v>-1.5625E-2</v>
      </c>
      <c r="F32" s="6">
        <f t="shared" si="4"/>
        <v>-7.1428571428571426E-3</v>
      </c>
    </row>
    <row r="33" spans="1:6" x14ac:dyDescent="0.35">
      <c r="A33" s="14"/>
      <c r="B33" s="4" t="s">
        <v>12</v>
      </c>
      <c r="C33" s="5">
        <v>0.1875</v>
      </c>
      <c r="D33" s="5">
        <v>0.125</v>
      </c>
      <c r="E33" s="5">
        <f t="shared" si="5"/>
        <v>6.25E-2</v>
      </c>
      <c r="F33" s="6">
        <f t="shared" si="4"/>
        <v>2.8571428571428571E-2</v>
      </c>
    </row>
    <row r="34" spans="1:6" x14ac:dyDescent="0.35">
      <c r="A34" s="14"/>
      <c r="B34" s="4" t="s">
        <v>13</v>
      </c>
      <c r="C34" s="5">
        <v>0.171875</v>
      </c>
      <c r="D34" s="5">
        <v>0.140625</v>
      </c>
      <c r="E34" s="5">
        <f t="shared" si="5"/>
        <v>3.125E-2</v>
      </c>
      <c r="F34" s="6">
        <f t="shared" si="4"/>
        <v>1.4285714285714285E-2</v>
      </c>
    </row>
    <row r="35" spans="1:6" x14ac:dyDescent="0.35">
      <c r="A35" s="14"/>
      <c r="B35" s="4" t="s">
        <v>14</v>
      </c>
      <c r="C35" s="5">
        <v>0.46875</v>
      </c>
      <c r="D35" s="5">
        <v>0.265625</v>
      </c>
      <c r="E35" s="5">
        <f>$C35-$D35</f>
        <v>0.203125</v>
      </c>
      <c r="F35" s="6">
        <f t="shared" si="4"/>
        <v>9.285714285714286E-2</v>
      </c>
    </row>
    <row r="36" spans="1:6" x14ac:dyDescent="0.35">
      <c r="A36" s="14"/>
      <c r="B36" s="4" t="s">
        <v>15</v>
      </c>
      <c r="C36" s="5">
        <v>1.03125</v>
      </c>
      <c r="D36" s="5">
        <v>0.4375</v>
      </c>
      <c r="E36" s="5">
        <f>$C36-$D36</f>
        <v>0.59375</v>
      </c>
      <c r="F36" s="6">
        <f t="shared" si="4"/>
        <v>0.27142857142857141</v>
      </c>
    </row>
    <row r="37" spans="1:6" ht="15" thickBot="1" x14ac:dyDescent="0.4">
      <c r="A37" s="15"/>
      <c r="B37" s="9" t="s">
        <v>16</v>
      </c>
      <c r="C37" s="10">
        <f>SUM(C27:C36)</f>
        <v>2.1875</v>
      </c>
      <c r="D37" s="10">
        <f>SUM(D27:D36)</f>
        <v>1.46875</v>
      </c>
      <c r="E37" s="10">
        <f>$C37-$D37</f>
        <v>0.71875</v>
      </c>
      <c r="F37" s="11">
        <f t="shared" si="4"/>
        <v>0.32857142857142857</v>
      </c>
    </row>
    <row r="38" spans="1:6" ht="15" thickTop="1" x14ac:dyDescent="0.35">
      <c r="A38" s="13" t="s">
        <v>26</v>
      </c>
      <c r="B38" s="7" t="s">
        <v>24</v>
      </c>
      <c r="C38" s="8">
        <v>7.8125E-2</v>
      </c>
      <c r="D38" s="8">
        <v>4.6875E-2</v>
      </c>
      <c r="E38" s="8">
        <f>$C38-$D38</f>
        <v>3.125E-2</v>
      </c>
      <c r="F38" s="12">
        <f t="shared" ref="F38:F44" si="6">$E38/$C$44</f>
        <v>6.25E-2</v>
      </c>
    </row>
    <row r="39" spans="1:6" x14ac:dyDescent="0.35">
      <c r="A39" s="14"/>
      <c r="B39" s="4" t="s">
        <v>7</v>
      </c>
      <c r="C39" s="5">
        <v>0.109375</v>
      </c>
      <c r="D39" s="5">
        <v>0</v>
      </c>
      <c r="E39" s="5">
        <f>$C39-$D39</f>
        <v>0.109375</v>
      </c>
      <c r="F39" s="6">
        <f t="shared" si="6"/>
        <v>0.21875</v>
      </c>
    </row>
    <row r="40" spans="1:6" x14ac:dyDescent="0.35">
      <c r="A40" s="14"/>
      <c r="B40" s="4" t="s">
        <v>9</v>
      </c>
      <c r="C40" s="5">
        <v>7.8125E-2</v>
      </c>
      <c r="D40" s="5">
        <v>6.25E-2</v>
      </c>
      <c r="E40" s="5">
        <f t="shared" ref="E40:E42" si="7">$C40-$D40</f>
        <v>1.5625E-2</v>
      </c>
      <c r="F40" s="6">
        <f t="shared" si="6"/>
        <v>3.125E-2</v>
      </c>
    </row>
    <row r="41" spans="1:6" x14ac:dyDescent="0.35">
      <c r="A41" s="14"/>
      <c r="B41" s="4" t="s">
        <v>25</v>
      </c>
      <c r="C41" s="5">
        <v>6.25E-2</v>
      </c>
      <c r="D41" s="5">
        <v>1.5625E-2</v>
      </c>
      <c r="E41" s="5">
        <f t="shared" si="7"/>
        <v>4.6875E-2</v>
      </c>
      <c r="F41" s="6">
        <f t="shared" si="6"/>
        <v>9.375E-2</v>
      </c>
    </row>
    <row r="42" spans="1:6" x14ac:dyDescent="0.35">
      <c r="A42" s="14"/>
      <c r="B42" s="4" t="s">
        <v>12</v>
      </c>
      <c r="C42" s="5">
        <v>9.375E-2</v>
      </c>
      <c r="D42" s="5">
        <v>3.125E-2</v>
      </c>
      <c r="E42" s="5">
        <f t="shared" si="7"/>
        <v>6.25E-2</v>
      </c>
      <c r="F42" s="6">
        <f t="shared" si="6"/>
        <v>0.125</v>
      </c>
    </row>
    <row r="43" spans="1:6" x14ac:dyDescent="0.35">
      <c r="A43" s="14"/>
      <c r="B43" s="4" t="s">
        <v>14</v>
      </c>
      <c r="C43" s="5">
        <v>7.8125E-2</v>
      </c>
      <c r="D43" s="5">
        <v>9.375E-2</v>
      </c>
      <c r="E43" s="5">
        <f>$C43-$D43</f>
        <v>-1.5625E-2</v>
      </c>
      <c r="F43" s="6">
        <f t="shared" si="6"/>
        <v>-3.125E-2</v>
      </c>
    </row>
    <row r="44" spans="1:6" ht="15" thickBot="1" x14ac:dyDescent="0.4">
      <c r="A44" s="15"/>
      <c r="B44" s="9" t="s">
        <v>16</v>
      </c>
      <c r="C44" s="10">
        <f>SUM(C38:C43)</f>
        <v>0.5</v>
      </c>
      <c r="D44" s="10">
        <f>SUM(D38:D43)</f>
        <v>0.25</v>
      </c>
      <c r="E44" s="10">
        <f>$C44-$D44</f>
        <v>0.25</v>
      </c>
      <c r="F44" s="11">
        <f t="shared" si="6"/>
        <v>0.5</v>
      </c>
    </row>
    <row r="45" spans="1:6" ht="15" thickTop="1" x14ac:dyDescent="0.35">
      <c r="A45" s="13" t="s">
        <v>27</v>
      </c>
      <c r="B45" s="7" t="s">
        <v>24</v>
      </c>
      <c r="C45" s="8">
        <v>7.8125E-2</v>
      </c>
      <c r="D45" s="8">
        <v>0</v>
      </c>
      <c r="E45" s="8">
        <f>$C45-$D45</f>
        <v>7.8125E-2</v>
      </c>
      <c r="F45" s="12">
        <f>$E45/$C$51</f>
        <v>9.8039215686274508E-2</v>
      </c>
    </row>
    <row r="46" spans="1:6" x14ac:dyDescent="0.35">
      <c r="A46" s="14"/>
      <c r="B46" s="4" t="s">
        <v>7</v>
      </c>
      <c r="C46" s="5">
        <v>6.25E-2</v>
      </c>
      <c r="D46" s="5">
        <v>1.5625E-2</v>
      </c>
      <c r="E46" s="5">
        <f>$C46-$D46</f>
        <v>4.6875E-2</v>
      </c>
      <c r="F46" s="6">
        <f>$E46/$C$51</f>
        <v>5.8823529411764705E-2</v>
      </c>
    </row>
    <row r="47" spans="1:6" x14ac:dyDescent="0.35">
      <c r="A47" s="14"/>
      <c r="B47" s="4" t="s">
        <v>9</v>
      </c>
      <c r="C47" s="5">
        <v>6.25E-2</v>
      </c>
      <c r="D47" s="5">
        <v>6.25E-2</v>
      </c>
      <c r="E47" s="5">
        <f t="shared" ref="E47:E49" si="8">$C47-$D47</f>
        <v>0</v>
      </c>
      <c r="F47" s="6">
        <f t="shared" ref="F47:F49" si="9">$E47/$C$51</f>
        <v>0</v>
      </c>
    </row>
    <row r="48" spans="1:6" x14ac:dyDescent="0.35">
      <c r="A48" s="14"/>
      <c r="B48" s="4" t="s">
        <v>25</v>
      </c>
      <c r="C48" s="5">
        <v>6.25E-2</v>
      </c>
      <c r="D48" s="5">
        <v>9.375E-2</v>
      </c>
      <c r="E48" s="5">
        <f t="shared" si="8"/>
        <v>-3.125E-2</v>
      </c>
      <c r="F48" s="6">
        <f t="shared" si="9"/>
        <v>-3.9215686274509803E-2</v>
      </c>
    </row>
    <row r="49" spans="1:6" x14ac:dyDescent="0.35">
      <c r="A49" s="14"/>
      <c r="B49" s="4" t="s">
        <v>12</v>
      </c>
      <c r="C49" s="5">
        <v>0.234375</v>
      </c>
      <c r="D49" s="5">
        <v>6.25E-2</v>
      </c>
      <c r="E49" s="5">
        <f t="shared" si="8"/>
        <v>0.171875</v>
      </c>
      <c r="F49" s="6">
        <f t="shared" si="9"/>
        <v>0.21568627450980393</v>
      </c>
    </row>
    <row r="50" spans="1:6" x14ac:dyDescent="0.35">
      <c r="A50" s="14"/>
      <c r="B50" s="4" t="s">
        <v>14</v>
      </c>
      <c r="C50" s="5">
        <v>0.296875</v>
      </c>
      <c r="D50" s="5">
        <v>0.171875</v>
      </c>
      <c r="E50" s="5">
        <f>$C50-$D50</f>
        <v>0.125</v>
      </c>
      <c r="F50" s="6">
        <f>$E50/$C$51</f>
        <v>0.15686274509803921</v>
      </c>
    </row>
    <row r="51" spans="1:6" ht="15" thickBot="1" x14ac:dyDescent="0.4">
      <c r="A51" s="15"/>
      <c r="B51" s="9" t="s">
        <v>16</v>
      </c>
      <c r="C51" s="10">
        <f>SUM(C45:C50)</f>
        <v>0.796875</v>
      </c>
      <c r="D51" s="10">
        <f>SUM(D45:D50)</f>
        <v>0.40625</v>
      </c>
      <c r="E51" s="10">
        <f>$C51-$D51</f>
        <v>0.390625</v>
      </c>
      <c r="F51" s="11">
        <f>$E51/$C$51</f>
        <v>0.49019607843137253</v>
      </c>
    </row>
    <row r="52" spans="1:6" ht="15" thickTop="1" x14ac:dyDescent="0.35">
      <c r="A52" s="13" t="s">
        <v>28</v>
      </c>
      <c r="B52" s="7" t="s">
        <v>24</v>
      </c>
      <c r="C52" s="8">
        <v>6.25E-2</v>
      </c>
      <c r="D52" s="8">
        <v>3.125E-2</v>
      </c>
      <c r="E52" s="8">
        <f>$C52-$D52</f>
        <v>3.125E-2</v>
      </c>
      <c r="F52" s="12">
        <f>$E52/$C$58</f>
        <v>3.0303030303030304E-2</v>
      </c>
    </row>
    <row r="53" spans="1:6" x14ac:dyDescent="0.35">
      <c r="A53" s="14"/>
      <c r="B53" s="4" t="s">
        <v>7</v>
      </c>
      <c r="C53" s="5">
        <v>0.109375</v>
      </c>
      <c r="D53" s="5">
        <v>9.375E-2</v>
      </c>
      <c r="E53" s="5">
        <f>$C53-$D53</f>
        <v>1.5625E-2</v>
      </c>
      <c r="F53" s="6">
        <f>$E53/$C$58</f>
        <v>1.5151515151515152E-2</v>
      </c>
    </row>
    <row r="54" spans="1:6" x14ac:dyDescent="0.35">
      <c r="A54" s="14"/>
      <c r="B54" s="4" t="s">
        <v>9</v>
      </c>
      <c r="C54" s="5">
        <v>0.15625</v>
      </c>
      <c r="D54" s="5">
        <v>7.8125E-2</v>
      </c>
      <c r="E54" s="5">
        <f t="shared" ref="E54:E56" si="10">$C54-$D54</f>
        <v>7.8125E-2</v>
      </c>
      <c r="F54" s="6">
        <f t="shared" ref="F54:F56" si="11">$E54/$C$58</f>
        <v>7.575757575757576E-2</v>
      </c>
    </row>
    <row r="55" spans="1:6" x14ac:dyDescent="0.35">
      <c r="A55" s="14"/>
      <c r="B55" s="4" t="s">
        <v>25</v>
      </c>
      <c r="C55" s="5">
        <v>0.1875</v>
      </c>
      <c r="D55" s="5">
        <v>3.125E-2</v>
      </c>
      <c r="E55" s="5">
        <f t="shared" si="10"/>
        <v>0.15625</v>
      </c>
      <c r="F55" s="6">
        <f t="shared" si="11"/>
        <v>0.15151515151515152</v>
      </c>
    </row>
    <row r="56" spans="1:6" x14ac:dyDescent="0.35">
      <c r="A56" s="14"/>
      <c r="B56" s="4" t="s">
        <v>12</v>
      </c>
      <c r="C56" s="5">
        <v>0.203125</v>
      </c>
      <c r="D56" s="5">
        <v>4.6875E-2</v>
      </c>
      <c r="E56" s="5">
        <f t="shared" si="10"/>
        <v>0.15625</v>
      </c>
      <c r="F56" s="6">
        <f t="shared" si="11"/>
        <v>0.15151515151515152</v>
      </c>
    </row>
    <row r="57" spans="1:6" x14ac:dyDescent="0.35">
      <c r="A57" s="14"/>
      <c r="B57" s="4" t="s">
        <v>14</v>
      </c>
      <c r="C57" s="5">
        <v>0.3125</v>
      </c>
      <c r="D57" s="5">
        <v>4.6875E-2</v>
      </c>
      <c r="E57" s="5">
        <f>$C57-$D57</f>
        <v>0.265625</v>
      </c>
      <c r="F57" s="6">
        <f>$E57/$C$58</f>
        <v>0.25757575757575757</v>
      </c>
    </row>
    <row r="58" spans="1:6" ht="15" thickBot="1" x14ac:dyDescent="0.4">
      <c r="A58" s="15"/>
      <c r="B58" s="9" t="s">
        <v>16</v>
      </c>
      <c r="C58" s="10">
        <f>SUM(C52:C57)</f>
        <v>1.03125</v>
      </c>
      <c r="D58" s="10">
        <f>SUM(D52:D57)</f>
        <v>0.328125</v>
      </c>
      <c r="E58" s="10">
        <f>$C58-$D58</f>
        <v>0.703125</v>
      </c>
      <c r="F58" s="11">
        <f>$E58/$C$58</f>
        <v>0.68181818181818177</v>
      </c>
    </row>
    <row r="59" spans="1:6" ht="15" thickTop="1" x14ac:dyDescent="0.35">
      <c r="A59" s="13" t="s">
        <v>29</v>
      </c>
      <c r="B59" s="7" t="s">
        <v>24</v>
      </c>
      <c r="C59" s="8">
        <v>0</v>
      </c>
      <c r="D59" s="8">
        <v>0</v>
      </c>
      <c r="E59" s="8">
        <f>$C59-$D59</f>
        <v>0</v>
      </c>
      <c r="F59" s="12">
        <f>$E59/$C$65</f>
        <v>0</v>
      </c>
    </row>
    <row r="60" spans="1:6" x14ac:dyDescent="0.35">
      <c r="A60" s="14"/>
      <c r="B60" s="4" t="s">
        <v>6</v>
      </c>
      <c r="C60" s="5">
        <v>4.6875E-2</v>
      </c>
      <c r="D60" s="5">
        <v>0</v>
      </c>
      <c r="E60" s="5">
        <f>$C60-$D60</f>
        <v>4.6875E-2</v>
      </c>
      <c r="F60" s="6">
        <f>$E60/$C$65</f>
        <v>0.13043478260869565</v>
      </c>
    </row>
    <row r="61" spans="1:6" x14ac:dyDescent="0.35">
      <c r="A61" s="14"/>
      <c r="B61" s="4" t="s">
        <v>9</v>
      </c>
      <c r="C61" s="5">
        <v>1.5625E-2</v>
      </c>
      <c r="D61" s="5">
        <v>4.6875E-2</v>
      </c>
      <c r="E61" s="5">
        <f t="shared" ref="E61:E64" si="12">$C61-$D61</f>
        <v>-3.125E-2</v>
      </c>
      <c r="F61" s="6">
        <f t="shared" ref="F61:F64" si="13">$E61/$C$65</f>
        <v>-8.6956521739130432E-2</v>
      </c>
    </row>
    <row r="62" spans="1:6" x14ac:dyDescent="0.35">
      <c r="A62" s="14"/>
      <c r="B62" s="4" t="s">
        <v>25</v>
      </c>
      <c r="C62" s="5">
        <v>6.25E-2</v>
      </c>
      <c r="D62" s="5">
        <v>3.125E-2</v>
      </c>
      <c r="E62" s="5">
        <f t="shared" si="12"/>
        <v>3.125E-2</v>
      </c>
      <c r="F62" s="6">
        <f t="shared" si="13"/>
        <v>8.6956521739130432E-2</v>
      </c>
    </row>
    <row r="63" spans="1:6" x14ac:dyDescent="0.35">
      <c r="A63" s="14"/>
      <c r="B63" s="4" t="s">
        <v>12</v>
      </c>
      <c r="C63" s="5">
        <v>0.109375</v>
      </c>
      <c r="D63" s="5">
        <v>1.5625E-2</v>
      </c>
      <c r="E63" s="5">
        <f t="shared" si="12"/>
        <v>9.375E-2</v>
      </c>
      <c r="F63" s="6">
        <f t="shared" si="13"/>
        <v>0.2608695652173913</v>
      </c>
    </row>
    <row r="64" spans="1:6" x14ac:dyDescent="0.35">
      <c r="A64" s="14"/>
      <c r="B64" s="4" t="s">
        <v>14</v>
      </c>
      <c r="C64" s="5">
        <v>0.125</v>
      </c>
      <c r="D64" s="5">
        <v>6.25E-2</v>
      </c>
      <c r="E64" s="5">
        <f t="shared" si="12"/>
        <v>6.25E-2</v>
      </c>
      <c r="F64" s="6">
        <f t="shared" si="13"/>
        <v>0.17391304347826086</v>
      </c>
    </row>
    <row r="65" spans="1:6" ht="15" thickBot="1" x14ac:dyDescent="0.4">
      <c r="A65" s="15"/>
      <c r="B65" s="9" t="s">
        <v>16</v>
      </c>
      <c r="C65" s="10">
        <f>SUM(C59:C64)</f>
        <v>0.359375</v>
      </c>
      <c r="D65" s="10">
        <f>SUM(D59:D64)</f>
        <v>0.15625</v>
      </c>
      <c r="E65" s="10">
        <f>$C65-$D65</f>
        <v>0.203125</v>
      </c>
      <c r="F65" s="11">
        <f>$E65/$C$65</f>
        <v>0.56521739130434778</v>
      </c>
    </row>
    <row r="66" spans="1:6" ht="15" thickTop="1" x14ac:dyDescent="0.35">
      <c r="A66" s="13" t="s">
        <v>30</v>
      </c>
      <c r="B66" s="7" t="s">
        <v>24</v>
      </c>
      <c r="C66" s="8">
        <v>0</v>
      </c>
      <c r="D66" s="8">
        <v>0</v>
      </c>
      <c r="E66" s="8">
        <f>$C66-$D66</f>
        <v>0</v>
      </c>
      <c r="F66" s="12">
        <f>$E66/$C$72</f>
        <v>0</v>
      </c>
    </row>
    <row r="67" spans="1:6" x14ac:dyDescent="0.35">
      <c r="A67" s="14"/>
      <c r="B67" s="4" t="s">
        <v>7</v>
      </c>
      <c r="C67" s="5">
        <v>6.25E-2</v>
      </c>
      <c r="D67" s="5">
        <v>3.125E-2</v>
      </c>
      <c r="E67" s="5">
        <f>$C67-$D67</f>
        <v>3.125E-2</v>
      </c>
      <c r="F67" s="6">
        <f>$E67/$C$72</f>
        <v>0.1111111111111111</v>
      </c>
    </row>
    <row r="68" spans="1:6" x14ac:dyDescent="0.35">
      <c r="A68" s="14"/>
      <c r="B68" s="4" t="s">
        <v>9</v>
      </c>
      <c r="C68" s="5">
        <v>6.25E-2</v>
      </c>
      <c r="D68" s="5">
        <v>3.125E-2</v>
      </c>
      <c r="E68" s="5">
        <f t="shared" ref="E68:E71" si="14">$C68-$D68</f>
        <v>3.125E-2</v>
      </c>
      <c r="F68" s="6">
        <f t="shared" ref="F68:F71" si="15">$E68/$C$72</f>
        <v>0.1111111111111111</v>
      </c>
    </row>
    <row r="69" spans="1:6" x14ac:dyDescent="0.35">
      <c r="A69" s="14"/>
      <c r="B69" s="4" t="s">
        <v>25</v>
      </c>
      <c r="C69" s="5">
        <v>6.25E-2</v>
      </c>
      <c r="D69" s="5">
        <v>6.25E-2</v>
      </c>
      <c r="E69" s="5">
        <f t="shared" si="14"/>
        <v>0</v>
      </c>
      <c r="F69" s="6">
        <f t="shared" si="15"/>
        <v>0</v>
      </c>
    </row>
    <row r="70" spans="1:6" x14ac:dyDescent="0.35">
      <c r="A70" s="14"/>
      <c r="B70" s="4" t="s">
        <v>12</v>
      </c>
      <c r="C70" s="5">
        <v>4.6875E-2</v>
      </c>
      <c r="D70" s="5">
        <v>7.8125E-2</v>
      </c>
      <c r="E70" s="5">
        <f t="shared" si="14"/>
        <v>-3.125E-2</v>
      </c>
      <c r="F70" s="6">
        <f t="shared" si="15"/>
        <v>-0.1111111111111111</v>
      </c>
    </row>
    <row r="71" spans="1:6" x14ac:dyDescent="0.35">
      <c r="A71" s="14"/>
      <c r="B71" s="4" t="s">
        <v>14</v>
      </c>
      <c r="C71" s="5">
        <v>4.6875E-2</v>
      </c>
      <c r="D71" s="5">
        <v>4.6875E-2</v>
      </c>
      <c r="E71" s="5">
        <f t="shared" si="14"/>
        <v>0</v>
      </c>
      <c r="F71" s="6">
        <f t="shared" si="15"/>
        <v>0</v>
      </c>
    </row>
    <row r="72" spans="1:6" ht="15" thickBot="1" x14ac:dyDescent="0.4">
      <c r="A72" s="15"/>
      <c r="B72" s="9" t="s">
        <v>16</v>
      </c>
      <c r="C72" s="10">
        <f>SUM(C66:C71)</f>
        <v>0.28125</v>
      </c>
      <c r="D72" s="10">
        <f>SUM(D66:D71)</f>
        <v>0.25</v>
      </c>
      <c r="E72" s="10">
        <f>$C75-$D75</f>
        <v>0.15625</v>
      </c>
      <c r="F72" s="11">
        <f>$E72/$C$72</f>
        <v>0.55555555555555558</v>
      </c>
    </row>
    <row r="73" spans="1:6" ht="15" thickTop="1" x14ac:dyDescent="0.35">
      <c r="A73" s="13" t="s">
        <v>31</v>
      </c>
      <c r="B73" s="7" t="s">
        <v>24</v>
      </c>
      <c r="C73" s="8">
        <v>7.8125E-2</v>
      </c>
      <c r="D73" s="8">
        <v>1.5625E-2</v>
      </c>
      <c r="E73" s="8">
        <f>$C73-$D73</f>
        <v>6.25E-2</v>
      </c>
      <c r="F73" s="12">
        <f>$E73/$C$79</f>
        <v>6.25E-2</v>
      </c>
    </row>
    <row r="74" spans="1:6" x14ac:dyDescent="0.35">
      <c r="A74" s="14"/>
      <c r="B74" s="4" t="s">
        <v>7</v>
      </c>
      <c r="C74" s="5">
        <v>0.125</v>
      </c>
      <c r="D74" s="5">
        <v>1.5625E-2</v>
      </c>
      <c r="E74" s="5">
        <f>$C74-$D74</f>
        <v>0.109375</v>
      </c>
      <c r="F74" s="6">
        <f>$E74/$C$79</f>
        <v>0.109375</v>
      </c>
    </row>
    <row r="75" spans="1:6" x14ac:dyDescent="0.35">
      <c r="A75" s="14"/>
      <c r="B75" s="4" t="s">
        <v>9</v>
      </c>
      <c r="C75" s="5">
        <v>0.1875</v>
      </c>
      <c r="D75" s="5">
        <v>3.125E-2</v>
      </c>
      <c r="E75" s="5">
        <f t="shared" ref="E75:E79" si="16">$C75-$D75</f>
        <v>0.15625</v>
      </c>
      <c r="F75" s="6">
        <f t="shared" ref="F75:F79" si="17">$E75/$C$79</f>
        <v>0.15625</v>
      </c>
    </row>
    <row r="76" spans="1:6" x14ac:dyDescent="0.35">
      <c r="A76" s="14"/>
      <c r="B76" s="4" t="s">
        <v>25</v>
      </c>
      <c r="C76" s="5">
        <v>0.1875</v>
      </c>
      <c r="D76" s="5">
        <v>4.6875E-2</v>
      </c>
      <c r="E76" s="5">
        <f t="shared" si="16"/>
        <v>0.140625</v>
      </c>
      <c r="F76" s="6">
        <f t="shared" si="17"/>
        <v>0.140625</v>
      </c>
    </row>
    <row r="77" spans="1:6" x14ac:dyDescent="0.35">
      <c r="A77" s="14"/>
      <c r="B77" s="4" t="s">
        <v>12</v>
      </c>
      <c r="C77" s="5">
        <v>0.140625</v>
      </c>
      <c r="D77" s="5">
        <v>6.25E-2</v>
      </c>
      <c r="E77" s="5">
        <f t="shared" si="16"/>
        <v>7.8125E-2</v>
      </c>
      <c r="F77" s="6">
        <f t="shared" si="17"/>
        <v>7.8125E-2</v>
      </c>
    </row>
    <row r="78" spans="1:6" x14ac:dyDescent="0.35">
      <c r="A78" s="14"/>
      <c r="B78" s="4" t="s">
        <v>14</v>
      </c>
      <c r="C78" s="5">
        <v>0.28125</v>
      </c>
      <c r="D78" s="5">
        <v>4.6875E-2</v>
      </c>
      <c r="E78" s="5">
        <f t="shared" si="16"/>
        <v>0.234375</v>
      </c>
      <c r="F78" s="6">
        <f t="shared" si="17"/>
        <v>0.234375</v>
      </c>
    </row>
    <row r="79" spans="1:6" ht="15" thickBot="1" x14ac:dyDescent="0.4">
      <c r="A79" s="15"/>
      <c r="B79" s="9" t="s">
        <v>16</v>
      </c>
      <c r="C79" s="10">
        <f>SUM(C73:C78)</f>
        <v>1</v>
      </c>
      <c r="D79" s="10">
        <f>SUM(D73:D78)</f>
        <v>0.21875</v>
      </c>
      <c r="E79" s="10">
        <f t="shared" si="16"/>
        <v>0.78125</v>
      </c>
      <c r="F79" s="11">
        <f t="shared" si="17"/>
        <v>0.78125</v>
      </c>
    </row>
    <row r="80" spans="1:6" ht="15" thickTop="1" x14ac:dyDescent="0.35">
      <c r="A80" s="13" t="s">
        <v>32</v>
      </c>
      <c r="B80" s="7" t="s">
        <v>5</v>
      </c>
      <c r="C80" s="8">
        <v>6.25E-2</v>
      </c>
      <c r="D80" s="8">
        <v>3.125E-2</v>
      </c>
      <c r="E80" s="8">
        <f>$C80-$D80</f>
        <v>3.125E-2</v>
      </c>
      <c r="F80" s="12">
        <f>$E80/$C$91</f>
        <v>1.8867924528301886E-2</v>
      </c>
    </row>
    <row r="81" spans="1:6" x14ac:dyDescent="0.35">
      <c r="A81" s="14"/>
      <c r="B81" s="4" t="s">
        <v>6</v>
      </c>
      <c r="C81" s="5">
        <v>4.6875E-2</v>
      </c>
      <c r="D81" s="5">
        <v>1.5625E-2</v>
      </c>
      <c r="E81" s="5">
        <f>$C81-$D81</f>
        <v>3.125E-2</v>
      </c>
      <c r="F81" s="6">
        <f>$E81/$C$91</f>
        <v>1.8867924528301886E-2</v>
      </c>
    </row>
    <row r="82" spans="1:6" x14ac:dyDescent="0.35">
      <c r="A82" s="14"/>
      <c r="B82" s="4" t="s">
        <v>7</v>
      </c>
      <c r="C82" s="5">
        <v>0.109375</v>
      </c>
      <c r="D82" s="5">
        <v>4.6875E-2</v>
      </c>
      <c r="E82" s="5">
        <f t="shared" ref="E82:E90" si="18">$C82-$D82</f>
        <v>6.25E-2</v>
      </c>
      <c r="F82" s="6">
        <f t="shared" ref="F82:F90" si="19">$E82/$C$91</f>
        <v>3.7735849056603772E-2</v>
      </c>
    </row>
    <row r="83" spans="1:6" x14ac:dyDescent="0.35">
      <c r="A83" s="14"/>
      <c r="B83" s="4" t="s">
        <v>8</v>
      </c>
      <c r="C83" s="5">
        <v>0.15625</v>
      </c>
      <c r="D83" s="5">
        <v>4.6875E-2</v>
      </c>
      <c r="E83" s="5">
        <f t="shared" si="18"/>
        <v>0.109375</v>
      </c>
      <c r="F83" s="6">
        <f t="shared" si="19"/>
        <v>6.6037735849056603E-2</v>
      </c>
    </row>
    <row r="84" spans="1:6" x14ac:dyDescent="0.35">
      <c r="A84" s="14"/>
      <c r="B84" s="4" t="s">
        <v>9</v>
      </c>
      <c r="C84" s="5">
        <v>9.375E-2</v>
      </c>
      <c r="D84" s="5">
        <v>3.125E-2</v>
      </c>
      <c r="E84" s="5">
        <f t="shared" si="18"/>
        <v>6.25E-2</v>
      </c>
      <c r="F84" s="6">
        <f t="shared" si="19"/>
        <v>3.7735849056603772E-2</v>
      </c>
    </row>
    <row r="85" spans="1:6" x14ac:dyDescent="0.35">
      <c r="A85" s="14"/>
      <c r="B85" s="4" t="s">
        <v>10</v>
      </c>
      <c r="C85" s="5">
        <v>0.1875</v>
      </c>
      <c r="D85" s="5">
        <v>7.8125E-2</v>
      </c>
      <c r="E85" s="5">
        <f t="shared" si="18"/>
        <v>0.109375</v>
      </c>
      <c r="F85" s="6">
        <f t="shared" si="19"/>
        <v>6.6037735849056603E-2</v>
      </c>
    </row>
    <row r="86" spans="1:6" x14ac:dyDescent="0.35">
      <c r="A86" s="14"/>
      <c r="B86" s="4" t="s">
        <v>11</v>
      </c>
      <c r="C86" s="5">
        <v>0.15625</v>
      </c>
      <c r="D86" s="5">
        <v>9.375E-2</v>
      </c>
      <c r="E86" s="5">
        <f t="shared" si="18"/>
        <v>6.25E-2</v>
      </c>
      <c r="F86" s="6">
        <f t="shared" si="19"/>
        <v>3.7735849056603772E-2</v>
      </c>
    </row>
    <row r="87" spans="1:6" x14ac:dyDescent="0.35">
      <c r="A87" s="14"/>
      <c r="B87" s="4" t="s">
        <v>12</v>
      </c>
      <c r="C87" s="5">
        <v>0.1875</v>
      </c>
      <c r="D87" s="5">
        <v>9.375E-2</v>
      </c>
      <c r="E87" s="5">
        <f t="shared" si="18"/>
        <v>9.375E-2</v>
      </c>
      <c r="F87" s="6">
        <f t="shared" si="19"/>
        <v>5.6603773584905662E-2</v>
      </c>
    </row>
    <row r="88" spans="1:6" x14ac:dyDescent="0.35">
      <c r="A88" s="14"/>
      <c r="B88" s="4" t="s">
        <v>13</v>
      </c>
      <c r="C88" s="5">
        <v>0.203125</v>
      </c>
      <c r="D88" s="5">
        <v>6.25E-2</v>
      </c>
      <c r="E88" s="5">
        <f t="shared" si="18"/>
        <v>0.140625</v>
      </c>
      <c r="F88" s="6">
        <f t="shared" si="19"/>
        <v>8.4905660377358486E-2</v>
      </c>
    </row>
    <row r="89" spans="1:6" x14ac:dyDescent="0.35">
      <c r="A89" s="14"/>
      <c r="B89" s="4" t="s">
        <v>14</v>
      </c>
      <c r="C89" s="5">
        <v>0.234375</v>
      </c>
      <c r="D89" s="5">
        <v>6.25E-2</v>
      </c>
      <c r="E89" s="5">
        <f t="shared" si="18"/>
        <v>0.171875</v>
      </c>
      <c r="F89" s="6">
        <f t="shared" si="19"/>
        <v>0.10377358490566038</v>
      </c>
    </row>
    <row r="90" spans="1:6" x14ac:dyDescent="0.35">
      <c r="A90" s="14"/>
      <c r="B90" s="4" t="s">
        <v>15</v>
      </c>
      <c r="C90" s="5">
        <v>0.21875</v>
      </c>
      <c r="D90" s="5">
        <v>6.25E-2</v>
      </c>
      <c r="E90" s="5">
        <f t="shared" si="18"/>
        <v>0.15625</v>
      </c>
      <c r="F90" s="6">
        <f t="shared" si="19"/>
        <v>9.4339622641509441E-2</v>
      </c>
    </row>
    <row r="91" spans="1:6" ht="15" thickBot="1" x14ac:dyDescent="0.4">
      <c r="A91" s="15"/>
      <c r="B91" s="9" t="s">
        <v>16</v>
      </c>
      <c r="C91" s="10">
        <f>SUM(C80:C90)</f>
        <v>1.65625</v>
      </c>
      <c r="D91" s="10">
        <f>SUM(D80:D90)</f>
        <v>0.625</v>
      </c>
      <c r="E91" s="10">
        <f>$C91-$D91</f>
        <v>1.03125</v>
      </c>
      <c r="F91" s="11">
        <f>$E91/$C$91</f>
        <v>0.62264150943396224</v>
      </c>
    </row>
    <row r="92" spans="1:6" ht="15" thickTop="1" x14ac:dyDescent="0.35">
      <c r="A92" s="13" t="s">
        <v>33</v>
      </c>
      <c r="B92" s="7" t="s">
        <v>5</v>
      </c>
      <c r="C92" s="8">
        <v>0.125</v>
      </c>
      <c r="D92" s="8">
        <v>0</v>
      </c>
      <c r="E92" s="8">
        <f>$C92-$D92</f>
        <v>0.125</v>
      </c>
      <c r="F92" s="12">
        <f>$E92/$C$103</f>
        <v>4.5454545454545456E-2</v>
      </c>
    </row>
    <row r="93" spans="1:6" x14ac:dyDescent="0.35">
      <c r="A93" s="14"/>
      <c r="B93" s="4" t="s">
        <v>6</v>
      </c>
      <c r="C93" s="5">
        <v>0.125</v>
      </c>
      <c r="D93" s="5">
        <v>3.125E-2</v>
      </c>
      <c r="E93" s="5">
        <f>$C93-$D93</f>
        <v>9.375E-2</v>
      </c>
      <c r="F93" s="6">
        <f>$E93/$C$103</f>
        <v>3.4090909090909088E-2</v>
      </c>
    </row>
    <row r="94" spans="1:6" x14ac:dyDescent="0.35">
      <c r="A94" s="14"/>
      <c r="B94" s="4" t="s">
        <v>7</v>
      </c>
      <c r="C94" s="5">
        <v>0.140625</v>
      </c>
      <c r="D94" s="5">
        <v>1.5625E-2</v>
      </c>
      <c r="E94" s="5">
        <f t="shared" ref="E94:E102" si="20">$C94-$D94</f>
        <v>0.125</v>
      </c>
      <c r="F94" s="6">
        <f t="shared" ref="F94:F101" si="21">$E94/$C$103</f>
        <v>4.5454545454545456E-2</v>
      </c>
    </row>
    <row r="95" spans="1:6" x14ac:dyDescent="0.35">
      <c r="A95" s="14"/>
      <c r="B95" s="4" t="s">
        <v>8</v>
      </c>
      <c r="C95" s="5">
        <v>0.171875</v>
      </c>
      <c r="D95" s="5">
        <v>1.5625E-2</v>
      </c>
      <c r="E95" s="5">
        <f t="shared" si="20"/>
        <v>0.15625</v>
      </c>
      <c r="F95" s="6">
        <f t="shared" si="21"/>
        <v>5.6818181818181816E-2</v>
      </c>
    </row>
    <row r="96" spans="1:6" x14ac:dyDescent="0.35">
      <c r="A96" s="14"/>
      <c r="B96" s="4" t="s">
        <v>9</v>
      </c>
      <c r="C96" s="5">
        <v>0.1875</v>
      </c>
      <c r="D96" s="5">
        <v>9.375E-2</v>
      </c>
      <c r="E96" s="5">
        <f t="shared" si="20"/>
        <v>9.375E-2</v>
      </c>
      <c r="F96" s="6">
        <f t="shared" si="21"/>
        <v>3.4090909090909088E-2</v>
      </c>
    </row>
    <row r="97" spans="1:6" x14ac:dyDescent="0.35">
      <c r="A97" s="14"/>
      <c r="B97" s="4" t="s">
        <v>10</v>
      </c>
      <c r="C97" s="5">
        <v>0.296875</v>
      </c>
      <c r="D97" s="5">
        <v>9.375E-2</v>
      </c>
      <c r="E97" s="5">
        <f t="shared" si="20"/>
        <v>0.203125</v>
      </c>
      <c r="F97" s="6">
        <f t="shared" si="21"/>
        <v>7.3863636363636367E-2</v>
      </c>
    </row>
    <row r="98" spans="1:6" x14ac:dyDescent="0.35">
      <c r="A98" s="14"/>
      <c r="B98" s="4" t="s">
        <v>11</v>
      </c>
      <c r="C98" s="5">
        <v>0.3125</v>
      </c>
      <c r="D98" s="5">
        <v>7.8125E-2</v>
      </c>
      <c r="E98" s="5">
        <f t="shared" si="20"/>
        <v>0.234375</v>
      </c>
      <c r="F98" s="6">
        <f t="shared" si="21"/>
        <v>8.5227272727272721E-2</v>
      </c>
    </row>
    <row r="99" spans="1:6" x14ac:dyDescent="0.35">
      <c r="A99" s="14"/>
      <c r="B99" s="4" t="s">
        <v>12</v>
      </c>
      <c r="C99" s="5">
        <v>0.328125</v>
      </c>
      <c r="D99" s="5">
        <v>0.140625</v>
      </c>
      <c r="E99" s="5">
        <f t="shared" si="20"/>
        <v>0.1875</v>
      </c>
      <c r="F99" s="6">
        <f t="shared" si="21"/>
        <v>6.8181818181818177E-2</v>
      </c>
    </row>
    <row r="100" spans="1:6" x14ac:dyDescent="0.35">
      <c r="A100" s="14"/>
      <c r="B100" s="4" t="s">
        <v>13</v>
      </c>
      <c r="C100" s="5">
        <v>0.25</v>
      </c>
      <c r="D100" s="5">
        <v>0.140625</v>
      </c>
      <c r="E100" s="5">
        <f t="shared" si="20"/>
        <v>0.109375</v>
      </c>
      <c r="F100" s="6">
        <f t="shared" si="21"/>
        <v>3.9772727272727272E-2</v>
      </c>
    </row>
    <row r="101" spans="1:6" x14ac:dyDescent="0.35">
      <c r="A101" s="14"/>
      <c r="B101" s="4" t="s">
        <v>14</v>
      </c>
      <c r="C101" s="5">
        <v>0.328125</v>
      </c>
      <c r="D101" s="5">
        <v>0.15625</v>
      </c>
      <c r="E101" s="5">
        <f t="shared" si="20"/>
        <v>0.171875</v>
      </c>
      <c r="F101" s="6">
        <f t="shared" si="21"/>
        <v>6.25E-2</v>
      </c>
    </row>
    <row r="102" spans="1:6" x14ac:dyDescent="0.35">
      <c r="A102" s="14"/>
      <c r="B102" s="4" t="s">
        <v>15</v>
      </c>
      <c r="C102" s="5">
        <v>0.484375</v>
      </c>
      <c r="D102" s="5">
        <v>0.171875</v>
      </c>
      <c r="E102" s="5">
        <f t="shared" si="20"/>
        <v>0.3125</v>
      </c>
      <c r="F102" s="6">
        <f>$E102/$C$103</f>
        <v>0.11363636363636363</v>
      </c>
    </row>
    <row r="103" spans="1:6" ht="15" thickBot="1" x14ac:dyDescent="0.4">
      <c r="A103" s="15"/>
      <c r="B103" s="9" t="s">
        <v>16</v>
      </c>
      <c r="C103" s="10">
        <f>SUM(C92:C102)</f>
        <v>2.75</v>
      </c>
      <c r="D103" s="10">
        <f>SUM(D92:D102)</f>
        <v>0.9375</v>
      </c>
      <c r="E103" s="10">
        <f>$C103-$D103</f>
        <v>1.8125</v>
      </c>
      <c r="F103" s="11">
        <f>$E103/$C$103</f>
        <v>0.65909090909090906</v>
      </c>
    </row>
    <row r="104" spans="1:6" ht="15.5" thickTop="1" thickBot="1" x14ac:dyDescent="0.4">
      <c r="B104" s="22" t="s">
        <v>34</v>
      </c>
      <c r="C104" s="23">
        <f>C14+C26+C37+C44+C51+C58+C65+C72+C79+C91+C103</f>
        <v>16.171875</v>
      </c>
      <c r="D104" s="23">
        <f>D14+D26+D37+D44+D51+D58+D65+D72+D79+D91+D103</f>
        <v>6.984375</v>
      </c>
      <c r="E104" s="24">
        <f>$C104-$D104</f>
        <v>9.1875</v>
      </c>
      <c r="F104" s="25">
        <f>$E104/$C$104</f>
        <v>0.56811594202898552</v>
      </c>
    </row>
    <row r="105" spans="1:6" ht="15" thickTop="1" x14ac:dyDescent="0.35"/>
  </sheetData>
  <mergeCells count="15">
    <mergeCell ref="A15:A26"/>
    <mergeCell ref="C1:D1"/>
    <mergeCell ref="B1:B2"/>
    <mergeCell ref="A1:A2"/>
    <mergeCell ref="A3:A14"/>
    <mergeCell ref="E1:F1"/>
    <mergeCell ref="A66:A72"/>
    <mergeCell ref="A80:A91"/>
    <mergeCell ref="A92:A103"/>
    <mergeCell ref="A73:A79"/>
    <mergeCell ref="A27:A37"/>
    <mergeCell ref="A38:A44"/>
    <mergeCell ref="A45:A51"/>
    <mergeCell ref="A52:A58"/>
    <mergeCell ref="A59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Geoffroy Couasnet</dc:creator>
  <cp:lastModifiedBy>Geoffroy Couasnet</cp:lastModifiedBy>
  <dcterms:created xsi:type="dcterms:W3CDTF">2026-04-07T09:14:20Z</dcterms:created>
  <dcterms:modified xsi:type="dcterms:W3CDTF">2026-04-09T12:24:36Z</dcterms:modified>
</cp:coreProperties>
</file>